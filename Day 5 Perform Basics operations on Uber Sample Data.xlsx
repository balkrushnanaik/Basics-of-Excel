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8_{56ACCD8F-A945-4F08-805C-07AD204A9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ber Data" sheetId="1" r:id="rId1"/>
  </sheets>
  <calcPr calcId="191029"/>
</workbook>
</file>

<file path=xl/calcChain.xml><?xml version="1.0" encoding="utf-8"?>
<calcChain xmlns="http://schemas.openxmlformats.org/spreadsheetml/2006/main">
  <c r="M7" i="1" l="1"/>
  <c r="M6" i="1"/>
  <c r="M5" i="1"/>
  <c r="M4" i="1"/>
  <c r="M3" i="1"/>
  <c r="M2" i="1"/>
</calcChain>
</file>

<file path=xl/sharedStrings.xml><?xml version="1.0" encoding="utf-8"?>
<sst xmlns="http://schemas.openxmlformats.org/spreadsheetml/2006/main" count="78" uniqueCount="60">
  <si>
    <t>Trip_ID</t>
  </si>
  <si>
    <t>Date</t>
  </si>
  <si>
    <t>City</t>
  </si>
  <si>
    <t>Pickup_Location</t>
  </si>
  <si>
    <t>Drop_Location</t>
  </si>
  <si>
    <t>Distance_km</t>
  </si>
  <si>
    <t>Fare_INR</t>
  </si>
  <si>
    <t>Payment_Type</t>
  </si>
  <si>
    <t>Driver_Rating</t>
  </si>
  <si>
    <t>Ride_Type</t>
  </si>
  <si>
    <t>2026-03-01</t>
  </si>
  <si>
    <t>Mumbai</t>
  </si>
  <si>
    <t>Andheri</t>
  </si>
  <si>
    <t>Bandra</t>
  </si>
  <si>
    <t>UPI</t>
  </si>
  <si>
    <t>UberGo</t>
  </si>
  <si>
    <t>2026-03-02</t>
  </si>
  <si>
    <t>Pune</t>
  </si>
  <si>
    <t>Shivajinagar</t>
  </si>
  <si>
    <t>Hinjewadi</t>
  </si>
  <si>
    <t>Cash</t>
  </si>
  <si>
    <t>UberX</t>
  </si>
  <si>
    <t>2026-03-03</t>
  </si>
  <si>
    <t>Delhi</t>
  </si>
  <si>
    <t>Connaught Place</t>
  </si>
  <si>
    <t>Karol Bagh</t>
  </si>
  <si>
    <t>Card</t>
  </si>
  <si>
    <t>2026-03-04</t>
  </si>
  <si>
    <t>Bangalore</t>
  </si>
  <si>
    <t>Indiranagar</t>
  </si>
  <si>
    <t>Whitefield</t>
  </si>
  <si>
    <t>Uber Premier</t>
  </si>
  <si>
    <t>2026-03-05</t>
  </si>
  <si>
    <t>Hyderabad</t>
  </si>
  <si>
    <t>Banjara Hills</t>
  </si>
  <si>
    <t>Gachibowli</t>
  </si>
  <si>
    <t>2026-03-06</t>
  </si>
  <si>
    <t>Chennai</t>
  </si>
  <si>
    <t>T Nagar</t>
  </si>
  <si>
    <t>Adyar</t>
  </si>
  <si>
    <t>2026-03-07</t>
  </si>
  <si>
    <t>Dadar</t>
  </si>
  <si>
    <t>Colaba</t>
  </si>
  <si>
    <t>2026-03-08</t>
  </si>
  <si>
    <t>Katraj</t>
  </si>
  <si>
    <t>Baner</t>
  </si>
  <si>
    <t>2026-03-09</t>
  </si>
  <si>
    <t>Saket</t>
  </si>
  <si>
    <t>Noida</t>
  </si>
  <si>
    <t>2026-03-10</t>
  </si>
  <si>
    <t>BTM</t>
  </si>
  <si>
    <t>Electronic City</t>
  </si>
  <si>
    <t>Total number of Trips</t>
  </si>
  <si>
    <t>Total Fare Amount</t>
  </si>
  <si>
    <t>Average Fare of All Trips</t>
  </si>
  <si>
    <t>Maximum Fare</t>
  </si>
  <si>
    <t>Minimum Fare</t>
  </si>
  <si>
    <t>Trips paid using UPI</t>
  </si>
  <si>
    <t>Basics Operations</t>
  </si>
  <si>
    <t>countif(h:h, "UPI"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</si>
</sst>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="96" workbookViewId="0">
      <selection activeCell="M9" sqref="M9"/>
    </sheetView>
  </sheetViews>
  <sheetFormatPr defaultColWidth="13.33203125" defaultRowHeight="20.399999999999999" customHeight="1" x14ac:dyDescent="0.3"/>
  <cols>
    <col min="12" max="12" width="20.77734375" customWidth="1"/>
  </cols>
  <sheetData>
    <row r="1" spans="1:14" ht="25.8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58</v>
      </c>
    </row>
    <row r="2" spans="1:14" ht="20.399999999999999" customHeight="1" x14ac:dyDescent="0.3">
      <c r="A2" s="1">
        <v>1001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8.5</v>
      </c>
      <c r="G2" s="1">
        <v>220</v>
      </c>
      <c r="H2" s="1" t="s">
        <v>14</v>
      </c>
      <c r="I2" s="1">
        <v>4.8</v>
      </c>
      <c r="J2" s="1" t="s">
        <v>15</v>
      </c>
      <c r="L2" s="3" t="s">
        <v>52</v>
      </c>
      <c r="M2" s="6">
        <f>COUNT(A2:A11)</f>
        <v>10</v>
      </c>
    </row>
    <row r="3" spans="1:14" ht="20.399999999999999" customHeight="1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15.2</v>
      </c>
      <c r="G3" s="1">
        <v>350</v>
      </c>
      <c r="H3" s="1" t="s">
        <v>20</v>
      </c>
      <c r="I3" s="1">
        <v>4.5999999999999996</v>
      </c>
      <c r="J3" s="1" t="s">
        <v>21</v>
      </c>
      <c r="L3" s="4" t="s">
        <v>53</v>
      </c>
      <c r="M3" s="7">
        <f>SUM(G2:G11)</f>
        <v>3290</v>
      </c>
    </row>
    <row r="4" spans="1:14" ht="20.399999999999999" customHeight="1" x14ac:dyDescent="0.3">
      <c r="A4" s="1">
        <v>1003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6.3</v>
      </c>
      <c r="G4" s="1">
        <v>180</v>
      </c>
      <c r="H4" s="1" t="s">
        <v>26</v>
      </c>
      <c r="I4" s="1">
        <v>4.7</v>
      </c>
      <c r="J4" s="1" t="s">
        <v>15</v>
      </c>
      <c r="L4" s="4" t="s">
        <v>54</v>
      </c>
      <c r="M4" s="7">
        <f>AVERAGE(G2:G11)</f>
        <v>329</v>
      </c>
    </row>
    <row r="5" spans="1:14" ht="20.399999999999999" customHeight="1" x14ac:dyDescent="0.3">
      <c r="A5" s="1">
        <v>1004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18.7</v>
      </c>
      <c r="G5" s="1">
        <v>420</v>
      </c>
      <c r="H5" s="1" t="s">
        <v>14</v>
      </c>
      <c r="I5" s="1">
        <v>4.9000000000000004</v>
      </c>
      <c r="J5" s="1" t="s">
        <v>31</v>
      </c>
      <c r="L5" s="4" t="s">
        <v>55</v>
      </c>
      <c r="M5" s="7">
        <f>MAX(G2:G11)</f>
        <v>520</v>
      </c>
    </row>
    <row r="6" spans="1:14" ht="20.399999999999999" customHeight="1" x14ac:dyDescent="0.3">
      <c r="A6" s="1">
        <v>1005</v>
      </c>
      <c r="B6" s="1" t="s">
        <v>32</v>
      </c>
      <c r="C6" s="1" t="s">
        <v>33</v>
      </c>
      <c r="D6" s="1" t="s">
        <v>34</v>
      </c>
      <c r="E6" s="1" t="s">
        <v>35</v>
      </c>
      <c r="F6" s="1">
        <v>12.1</v>
      </c>
      <c r="G6" s="1">
        <v>300</v>
      </c>
      <c r="H6" s="1" t="s">
        <v>20</v>
      </c>
      <c r="I6" s="1">
        <v>4.5</v>
      </c>
      <c r="J6" s="1" t="s">
        <v>15</v>
      </c>
      <c r="L6" s="4" t="s">
        <v>56</v>
      </c>
      <c r="M6" s="7">
        <f>MIN(G2:G11)</f>
        <v>180</v>
      </c>
    </row>
    <row r="7" spans="1:14" ht="20.399999999999999" customHeight="1" thickBot="1" x14ac:dyDescent="0.35">
      <c r="A7" s="1">
        <v>1006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9.4</v>
      </c>
      <c r="G7" s="1">
        <v>250</v>
      </c>
      <c r="H7" s="1" t="s">
        <v>26</v>
      </c>
      <c r="I7" s="1">
        <v>4.7</v>
      </c>
      <c r="J7" s="1" t="s">
        <v>21</v>
      </c>
      <c r="L7" s="5" t="s">
        <v>57</v>
      </c>
      <c r="M7" s="8">
        <f>COUNTIF(H:H,"UPI")</f>
        <v>4</v>
      </c>
      <c r="N7" t="s">
        <v>59</v>
      </c>
    </row>
    <row r="8" spans="1:14" ht="20.399999999999999" customHeight="1" x14ac:dyDescent="0.3">
      <c r="A8" s="1">
        <v>1007</v>
      </c>
      <c r="B8" s="1" t="s">
        <v>40</v>
      </c>
      <c r="C8" s="1" t="s">
        <v>11</v>
      </c>
      <c r="D8" s="1" t="s">
        <v>41</v>
      </c>
      <c r="E8" s="1" t="s">
        <v>42</v>
      </c>
      <c r="F8" s="1">
        <v>11.8</v>
      </c>
      <c r="G8" s="1">
        <v>320</v>
      </c>
      <c r="H8" s="1" t="s">
        <v>14</v>
      </c>
      <c r="I8" s="1">
        <v>4.8</v>
      </c>
      <c r="J8" s="1" t="s">
        <v>15</v>
      </c>
    </row>
    <row r="9" spans="1:14" ht="20.399999999999999" customHeight="1" x14ac:dyDescent="0.3">
      <c r="A9" s="1">
        <v>1008</v>
      </c>
      <c r="B9" s="1" t="s">
        <v>43</v>
      </c>
      <c r="C9" s="1" t="s">
        <v>17</v>
      </c>
      <c r="D9" s="1" t="s">
        <v>44</v>
      </c>
      <c r="E9" s="1" t="s">
        <v>45</v>
      </c>
      <c r="F9" s="1">
        <v>14.5</v>
      </c>
      <c r="G9" s="1">
        <v>340</v>
      </c>
      <c r="H9" s="1" t="s">
        <v>20</v>
      </c>
      <c r="I9" s="1">
        <v>4.5999999999999996</v>
      </c>
      <c r="J9" s="1" t="s">
        <v>31</v>
      </c>
    </row>
    <row r="10" spans="1:14" ht="20.399999999999999" customHeight="1" x14ac:dyDescent="0.3">
      <c r="A10" s="1">
        <v>1009</v>
      </c>
      <c r="B10" s="1" t="s">
        <v>46</v>
      </c>
      <c r="C10" s="1" t="s">
        <v>23</v>
      </c>
      <c r="D10" s="1" t="s">
        <v>47</v>
      </c>
      <c r="E10" s="1" t="s">
        <v>48</v>
      </c>
      <c r="F10" s="1">
        <v>22</v>
      </c>
      <c r="G10" s="1">
        <v>520</v>
      </c>
      <c r="H10" s="1" t="s">
        <v>26</v>
      </c>
      <c r="I10" s="1">
        <v>4.9000000000000004</v>
      </c>
      <c r="J10" s="1" t="s">
        <v>21</v>
      </c>
    </row>
    <row r="11" spans="1:14" ht="20.399999999999999" customHeight="1" x14ac:dyDescent="0.3">
      <c r="A11" s="1">
        <v>1010</v>
      </c>
      <c r="B11" s="1" t="s">
        <v>49</v>
      </c>
      <c r="C11" s="1" t="s">
        <v>28</v>
      </c>
      <c r="D11" s="1" t="s">
        <v>50</v>
      </c>
      <c r="E11" s="1" t="s">
        <v>51</v>
      </c>
      <c r="F11" s="1">
        <v>16.399999999999999</v>
      </c>
      <c r="G11" s="1">
        <v>390</v>
      </c>
      <c r="H11" s="1" t="s">
        <v>14</v>
      </c>
      <c r="I11" s="1">
        <v>4.7</v>
      </c>
      <c r="J11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Balkrushna Naik</cp:lastModifiedBy>
  <dcterms:created xsi:type="dcterms:W3CDTF">2026-03-27T15:32:55Z</dcterms:created>
  <dcterms:modified xsi:type="dcterms:W3CDTF">2026-03-27T15:48:31Z</dcterms:modified>
</cp:coreProperties>
</file>